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ab87a9ec5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783354041fdc4fc0"/>
    <x:sheet xmlns:r="http://schemas.openxmlformats.org/officeDocument/2006/relationships" name="Data_Log" sheetId="2" r:id="Rd00c459486764abe"/>
    <x:sheet xmlns:r="http://schemas.openxmlformats.org/officeDocument/2006/relationships" name="How_to_Use" sheetId="3" r:id="R628889b214e5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borderId="0" xfId="0" applyNumberFormat="1" applyFont="1" applyFill="0" applyBorder="1" applyAlignment="1">
      <x:alignment vertical="center"/>
    </x:xf>
    <x:xf numFmtId="0" fontId="0" borderId="1" xfId="0" applyNumberFormat="1" applyFont="1" applyFill="0" applyBorder="1" applyAlignment="1">
      <x:alignment vertical="center"/>
    </x:xf>
    <x:xf numFmtId="0" fontId="1" borderId="0" xfId="0" applyNumberFormat="1" applyFont="1" applyFill="0" applyBorder="1" applyAlignment="1">
      <x:alignment vertical="center"/>
    </x:xf>
    <x:xf numFmtId="0" fontId="1" borderId="1" xfId="0" applyNumberFormat="1" applyFont="1" applyFill="0" applyBorder="1" applyAlignment="1">
      <x:alignment vertical="center"/>
    </x:xf>
    <x:xf numFmtId="0" fontId="1" borderId="0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borderId="0" xfId="0" applyNumberFormat="1" applyFont="1" applyFill="0" applyBorder="1" applyAlignment="1">
      <x:alignment vertical="center"/>
    </x:xf>
    <x:xf numFmtId="200" fontId="0" borderId="1" xfId="0" applyNumberFormat="1" applyFont="1" applyFill="0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borderId="0" xfId="0" applyNumberFormat="1" applyFont="1" applyFill="0" applyBorder="1" applyAlignment="1">
      <x:alignment horizontal="center"/>
    </x:xf>
    <x:xf numFmtId="0" fontId="1" borderId="1" xfId="0" applyNumberFormat="1" applyFont="1" applyFill="0" applyBorder="1" applyAlignment="1">
      <x:alignment horizont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borderId="0" xfId="0" applyNumberFormat="1" applyFont="1" applyFill="0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borderId="0" xfId="0" applyNumberFormat="1" applyFont="1" applyFill="0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1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borderId="1" xfId="0" applyNumberFormat="1" applyFont="1" applyFill="0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borderId="1" xfId="0" applyNumberFormat="1" applyFont="1" applyFill="0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c2d04eb1d4711" /><Relationship Type="http://schemas.openxmlformats.org/officeDocument/2006/relationships/theme" Target="/xl/theme/theme1.xml" Id="R0e966291177945de" /><Relationship Type="http://schemas.openxmlformats.org/officeDocument/2006/relationships/sharedStrings" Target="/xl/sharedStrings.xml" Id="R8077f005ae154bbb" /><Relationship Type="http://schemas.openxmlformats.org/officeDocument/2006/relationships/worksheet" Target="/xl/worksheets/sheet1.xml" Id="R783354041fdc4fc0" /><Relationship Type="http://schemas.openxmlformats.org/officeDocument/2006/relationships/worksheet" Target="/xl/worksheets/sheet2.xml" Id="Rd00c459486764abe" /><Relationship Type="http://schemas.openxmlformats.org/officeDocument/2006/relationships/worksheet" Target="/xl/worksheets/sheet3.xml" Id="R628889b214e549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a7ecc030d84b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Highest tested no-drop Target Fs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Highest tested no-drop Target Fs</c:v>
          </c:tx>
          <c:cat>
            <c:strRef>
              <c:f>'Calculator'!$A$10:$A$11</c:f>
              <c:strCache>
                <c:ptCount val="0"/>
              </c:strCache>
            </c:strRef>
          </c:cat>
          <c:val>
            <c:numRef>
              <c:f>'Calculator'!$B$10:$B$11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a7ecc030d84b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04e4cad1c3415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6" hidden="0" customWidth="1"/>
    <x:col min="5" max="5" width="20" hidden="0" customWidth="1"/>
    <x:col min="6" max="6" width="34" hidden="0" customWidth="1"/>
    <x:col min="8" max="8" width="2" hidden="0" customWidth="1"/>
  </x:cols>
  <x:sheetData>
    <x:row r="1" ht="28" customHeight="1">
      <x:c r="A1" s="27" t="str">
        <x:v>No-Drop Frequency Calculator for Serial and BLE</x:v>
      </x:c>
      <x:c r="B1" s="27" t="str"/>
      <x:c r="C1" s="27" t="str"/>
      <x:c r="D1" s="27" t="str"/>
      <x:c r="E1" s="27" t="str"/>
      <x:c r="F1" s="27" t="str"/>
      <x:c r="G1" s="27" t="str"/>
      <x:c r="H1" s="27" t="str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 ht="22" customHeight="1">
      <x:c r="A3" s="28" t="str">
        <x:v>Input</x:v>
      </x:c>
      <x:c r="B3" s="28" t="str">
        <x:v>Value</x:v>
      </x:c>
      <x:c r="C3" s="24"/>
      <x:c r="D3" s="24"/>
      <x:c r="E3" s="24"/>
      <x:c r="F3" s="24"/>
      <x:c r="G3" s="24"/>
      <x:c r="H3" s="24"/>
    </x:row>
    <x:row r="4" ht="22" customHeight="1">
      <x:c r="A4" s="29" t="str">
        <x:v>Batch size</x:v>
      </x:c>
      <x:c r="B4" s="30" t="n">
        <x:v>6</x:v>
      </x:c>
      <x:c r="C4" s="24"/>
      <x:c r="D4" s="24"/>
      <x:c r="E4" s="24"/>
      <x:c r="F4" s="24"/>
      <x:c r="G4" s="24"/>
      <x:c r="H4" s="24"/>
    </x:row>
    <x:row r="5" ht="22" customHeight="1">
      <x:c r="A5" s="29" t="str">
        <x:v>Oversampling</x:v>
      </x:c>
      <x:c r="B5" s="30" t="n">
        <x:v>8</x:v>
      </x:c>
      <x:c r="C5" s="24"/>
      <x:c r="D5" s="24"/>
      <x:c r="E5" s="24"/>
      <x:c r="F5" s="24"/>
      <x:c r="G5" s="24"/>
      <x:c r="H5" s="24"/>
    </x:row>
    <x:row r="6" ht="22" customHeight="1">
      <x:c r="A6" s="29" t="str">
        <x:v>Note</x:v>
      </x:c>
      <x:c r="B6" s="29" t="str">
        <x:v>Edit only the yellow cells</x:v>
      </x:c>
      <x:c r="C6" s="24"/>
      <x:c r="D6" s="24"/>
      <x:c r="E6" s="24"/>
      <x:c r="F6" s="24"/>
      <x:c r="G6" s="24"/>
      <x:c r="H6" s="24"/>
    </x:row>
    <x:row r="7" ht="22" customHeight="1">
      <x:c r="A7" s="24"/>
      <x:c r="B7" s="24"/>
      <x:c r="C7" s="24"/>
      <x:c r="D7" s="24"/>
      <x:c r="E7" s="24"/>
      <x:c r="F7" s="24"/>
      <x:c r="G7" s="24"/>
      <x:c r="H7" s="24"/>
    </x:row>
    <x:row r="8" ht="22" customHeight="1">
      <x:c r="A8" s="24" t="str">
        <x:v>Empirical result from your test log</x:v>
      </x:c>
      <x:c r="B8" s="24" t="str"/>
      <x:c r="C8" s="24" t="str"/>
      <x:c r="D8" s="24" t="str"/>
      <x:c r="E8" s="24" t="str"/>
      <x:c r="F8" s="24" t="str"/>
      <x:c r="G8" s="24"/>
      <x:c r="H8" s="24"/>
    </x:row>
    <x:row r="9" ht="22" customHeight="1">
      <x:c r="A9" s="28" t="str">
        <x:v>Protocol</x:v>
      </x:c>
      <x:c r="B9" s="28" t="str">
        <x:v>Highest tested no-drop Target Fs</x:v>
      </x:c>
      <x:c r="C9" s="28" t="str">
        <x:v>Highest tested no-drop Actual pps</x:v>
      </x:c>
      <x:c r="D9" s="28" t="str">
        <x:v>Effective samples/s</x:v>
      </x:c>
      <x:c r="E9" s="28" t="str">
        <x:v>ADC reads/s incl. oversampling</x:v>
      </x:c>
      <x:c r="F9" s="28" t="str">
        <x:v>Status</x:v>
      </x:c>
      <x:c r="G9" s="24"/>
      <x:c r="H9" s="24"/>
    </x:row>
    <x:row r="10" ht="22" customHeight="1">
      <x:c r="A10" s="29" t="str">
        <x:v>Serial</x:v>
      </x:c>
      <x:c r="B10" s="31" t="n">
        <x:f>MAXIFS(Data_Log!$D$2:$D$200,Data_Log!$A$2:$A$200,A10,Data_Log!$B$2:$B$200,$B$4,Data_Log!$C$2:$C$200,$B$5,Data_Log!$I$2:$I$200,"YES")</x:f>
        <x:v>0</x:v>
      </x:c>
      <x:c r="C10" s="31" t="n">
        <x:f>MAXIFS(Data_Log!$G$2:$G$200,Data_Log!$A$2:$A$200,A10,Data_Log!$B$2:$B$200,$B$4,Data_Log!$C$2:$C$200,$B$5,Data_Log!$I$2:$I$200,"YES")</x:f>
        <x:v>0</x:v>
      </x:c>
      <x:c r="D10" s="31" t="str">
        <x:f>IF(C10&gt;0,C10*$B$4,"")</x:f>
      </x:c>
      <x:c r="E10" s="31" t="str">
        <x:f>IF(D10&gt;0,D10*$B$5,"")</x:f>
      </x:c>
      <x:c r="F10" s="29" t="str">
        <x:f>IF(B10&gt;0,"Zero-drop test found","No zero-drop test found for this batch/oversampling")</x:f>
        <x:v>No zero-drop test found for this batch/oversampling</x:v>
      </x:c>
      <x:c r="G10" s="24"/>
      <x:c r="H10" s="24"/>
    </x:row>
    <x:row r="11" ht="22" customHeight="1">
      <x:c r="A11" s="29" t="str">
        <x:v>BLE</x:v>
      </x:c>
      <x:c r="B11" s="31" t="n">
        <x:f>MAXIFS(Data_Log!$D$2:$D$200,Data_Log!$A$2:$A$200,A11,Data_Log!$B$2:$B$200,$B$4,Data_Log!$C$2:$C$200,$B$5,Data_Log!$I$2:$I$200,"YES")</x:f>
        <x:v>0</x:v>
      </x:c>
      <x:c r="C11" s="31" t="n">
        <x:f>MAXIFS(Data_Log!$G$2:$G$200,Data_Log!$A$2:$A$200,A11,Data_Log!$B$2:$B$200,$B$4,Data_Log!$C$2:$C$200,$B$5,Data_Log!$I$2:$I$200,"YES")</x:f>
        <x:v>0</x:v>
      </x:c>
      <x:c r="D11" s="31" t="str">
        <x:f>IF(C11&gt;0,C11*$B$4,"")</x:f>
      </x:c>
      <x:c r="E11" s="31" t="str">
        <x:f>IF(D11&gt;0,D11*$B$5,"")</x:f>
      </x:c>
      <x:c r="F11" s="29" t="str">
        <x:f>IF(B11&gt;0,"Zero-drop test found","No zero-drop test found for this batch/oversampling")</x:f>
        <x:v>No zero-drop test found for this batch/oversampling</x:v>
      </x:c>
      <x:c r="G11" s="24"/>
      <x:c r="H11" s="24"/>
    </x:row>
    <x:row r="12" ht="22" customHeight="1">
      <x:c r="A12" s="24"/>
      <x:c r="B12" s="24"/>
      <x:c r="C12" s="24"/>
      <x:c r="D12" s="24"/>
      <x:c r="E12" s="24"/>
      <x:c r="F12" s="24"/>
      <x:c r="G12" s="24"/>
      <x:c r="H12" s="24"/>
    </x:row>
    <x:row r="13" ht="22" customHeight="1">
      <x:c r="A13" s="24" t="str">
        <x:v>Manual what-if calculator</x:v>
      </x:c>
      <x:c r="B13" s="24" t="str"/>
      <x:c r="C13" s="24" t="str"/>
      <x:c r="D13" s="24" t="str"/>
      <x:c r="E13" s="24" t="str"/>
      <x:c r="F13" s="24" t="str"/>
      <x:c r="G13" s="24"/>
      <x:c r="H13" s="24"/>
    </x:row>
    <x:row r="14" ht="22" customHeight="1">
      <x:c r="A14" s="28" t="str">
        <x:v>Protocol</x:v>
      </x:c>
      <x:c r="B14" s="28" t="str">
        <x:v>Safe packet rate you measured (pps)</x:v>
      </x:c>
      <x:c r="C14" s="28" t="str">
        <x:v>Computed safe output Fs</x:v>
      </x:c>
      <x:c r="D14" s="28" t="str">
        <x:v>ADC reads/s with oversampling</x:v>
      </x:c>
      <x:c r="E14" s="28" t="str">
        <x:v>Packet interval (ms)</x:v>
      </x:c>
      <x:c r="F14" s="28" t="str">
        <x:v>Use</x:v>
      </x:c>
      <x:c r="G14" s="24"/>
      <x:c r="H14" s="24"/>
    </x:row>
    <x:row r="15" ht="22" customHeight="1">
      <x:c r="A15" s="29" t="str">
        <x:v>Serial</x:v>
      </x:c>
      <x:c r="B15" s="32"/>
      <x:c r="C15" s="31" t="str">
        <x:f>IF(B15&gt;0,B15*$B$4,"")</x:f>
      </x:c>
      <x:c r="D15" s="31" t="str">
        <x:f>IF(C15&gt;0,C15*$B$5,"")</x:f>
      </x:c>
      <x:c r="E15" s="33" t="str">
        <x:f>IF(B15&gt;0,1000/B15,"")</x:f>
      </x:c>
      <x:c r="F15" s="29" t="str">
        <x:v>Enter a no-drop packet rate here if you already measured it</x:v>
      </x:c>
      <x:c r="G15" s="24"/>
      <x:c r="H15" s="24"/>
    </x:row>
    <x:row r="16" ht="22" customHeight="1">
      <x:c r="A16" s="29" t="str">
        <x:v>BLE</x:v>
      </x:c>
      <x:c r="B16" s="32"/>
      <x:c r="C16" s="31" t="str">
        <x:f>IF(B16&gt;0,B16*$B$4,"")</x:f>
      </x:c>
      <x:c r="D16" s="31" t="str">
        <x:f>IF(C16&gt;0,C16*$B$5,"")</x:f>
      </x:c>
      <x:c r="E16" s="33" t="str">
        <x:f>IF(B16&gt;0,1000/B16,"")</x:f>
      </x:c>
      <x:c r="F16" s="29" t="str">
        <x:v>Enter a no-drop packet rate here if you already measured it</x:v>
      </x:c>
      <x:c r="G16" s="24"/>
      <x:c r="H16" s="24"/>
    </x:row>
    <x:row r="17" ht="22" customHeight="1">
      <x:c r="A17" s="24" t="str"/>
      <x:c r="B17" s="24" t="str"/>
      <x:c r="C17" s="24" t="str"/>
      <x:c r="D17" s="24" t="str"/>
      <x:c r="E17" s="24" t="str"/>
      <x:c r="F17" s="24" t="str"/>
      <x:c r="G17" s="24"/>
      <x:c r="H17" s="24"/>
    </x:row>
    <x:row r="18" ht="22" customHeight="1">
      <x:c r="A18" s="24"/>
      <x:c r="B18" s="24"/>
      <x:c r="C18" s="24"/>
      <x:c r="D18" s="24"/>
      <x:c r="E18" s="24"/>
      <x:c r="F18" s="24"/>
      <x:c r="G18" s="24"/>
      <x:c r="H18" s="24"/>
    </x:row>
    <x:row r="19" ht="22" customHeight="1">
      <x:c r="A19" s="28" t="str">
        <x:v>Interpretation</x:v>
      </x:c>
      <x:c r="B19" s="28" t="str"/>
      <x:c r="C19" s="28" t="str"/>
      <x:c r="D19" s="28" t="str"/>
      <x:c r="E19" s="28" t="str"/>
      <x:c r="F19" s="28" t="str"/>
      <x:c r="G19" s="24"/>
      <x:c r="H19" s="24"/>
    </x:row>
    <x:row r="20" ht="22" customHeight="1">
      <x:c r="A20" s="29" t="str">
        <x:v>Effective samples/s</x:v>
      </x:c>
      <x:c r="B20" s="29" t="e"/>
      <x:c r="C20" s="29" t="str">
        <x:v>Actual packet rate × Batch size</x:v>
      </x:c>
      <x:c r="D20" s="29" t="str"/>
      <x:c r="E20" s="29" t="str"/>
      <x:c r="F20" s="29" t="str"/>
      <x:c r="G20" s="24"/>
      <x:c r="H20" s="24"/>
    </x:row>
    <x:row r="21" ht="22" customHeight="1">
      <x:c r="A21" s="29" t="str">
        <x:v>ADC reads/s</x:v>
      </x:c>
      <x:c r="B21" s="29" t="e"/>
      <x:c r="C21" s="29" t="str">
        <x:v>Effective samples/s × Oversampling</x:v>
      </x:c>
      <x:c r="D21" s="29" t="str"/>
      <x:c r="E21" s="29" t="str"/>
      <x:c r="F21" s="29" t="str"/>
      <x:c r="G21" s="24"/>
      <x:c r="H21" s="24"/>
    </x:row>
    <x:row r="22" ht="22" customHeight="1">
      <x:c r="A22" s="29" t="str">
        <x:v>Zero-drop rule</x:v>
      </x:c>
      <x:c r="B22" s="29" t="e"/>
      <x:c r="C22" s="29" t="str">
        <x:v>Receiver missing = 0 and Sender dropped batches = 0</x:v>
      </x:c>
      <x:c r="D22" s="29" t="str"/>
      <x:c r="E22" s="29" t="str"/>
      <x:c r="F22" s="29" t="str"/>
      <x:c r="G22" s="24"/>
      <x:c r="H22" s="24"/>
    </x:row>
    <x:row r="23" ht="22" customHeight="1">
      <x:c r="A23" s="29" t="str">
        <x:v>Reminder</x:v>
      </x:c>
      <x:c r="B23" s="29" t="str"/>
      <x:c r="C23" s="29" t="str">
        <x:v>If sender drop was not measured, leave it blank and do not treat that row as confirmed zero-drop</x:v>
      </x:c>
      <x:c r="D23" s="29" t="str"/>
      <x:c r="E23" s="29" t="str"/>
      <x:c r="F23" s="29" t="str"/>
      <x:c r="G23" s="24"/>
      <x:c r="H23" s="24"/>
    </x:row>
    <x:row r="24" ht="22" customHeight="1">
      <x:c r="A24" s="29" t="str">
        <x:v>Tip</x:v>
      </x:c>
      <x:c r="B24" s="29" t="str"/>
      <x:c r="C24" s="29" t="str">
        <x:v>Add more rows in Data_Log after each experiment and the summary will update automatically</x:v>
      </x:c>
      <x:c r="D24" s="29" t="str"/>
      <x:c r="E24" s="29" t="str"/>
      <x:c r="F24" s="29" t="str"/>
      <x:c r="G24" s="24"/>
      <x:c r="H24" s="24"/>
    </x:row>
  </x:sheetData>
  <x:pageMargins left="0.7" right="0.7" top="0.75" bottom="0.75" header="0.3" footer="0.3"/>
  <x:drawing xmlns:r="http://schemas.openxmlformats.org/officeDocument/2006/relationships" r:id="R9504e4cad1c3415f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0" hidden="0" customWidth="1"/>
    <x:col min="5" max="5" width="14" hidden="0" customWidth="1"/>
    <x:col min="6" max="6" width="18" hidden="0" customWidth="1"/>
    <x:col min="7" max="7" width="12" hidden="0" customWidth="1"/>
    <x:col min="8" max="8" width="18" hidden="0" customWidth="1"/>
    <x:col min="9" max="9" width="14" hidden="0" customWidth="1"/>
    <x:col min="10" max="10" width="42" hidden="0" customWidth="1"/>
  </x:cols>
  <x:sheetData>
    <x:row r="1" ht="20" customHeight="1">
      <x:c r="A1" s="28" t="str">
        <x:v>Protocol</x:v>
      </x:c>
      <x:c r="B1" s="28" t="str">
        <x:v>Batch</x:v>
      </x:c>
      <x:c r="C1" s="28" t="str">
        <x:v>Oversampling</x:v>
      </x:c>
      <x:c r="D1" s="28" t="str">
        <x:v>Target Fs</x:v>
      </x:c>
      <x:c r="E1" s="28" t="str">
        <x:v>Receiver missing</x:v>
      </x:c>
      <x:c r="F1" s="28" t="str">
        <x:v>Sender dropped batches</x:v>
      </x:c>
      <x:c r="G1" s="28" t="str">
        <x:v>Actual pps</x:v>
      </x:c>
      <x:c r="H1" s="28" t="str">
        <x:v>Effective samples/s</x:v>
      </x:c>
      <x:c r="I1" s="28" t="str">
        <x:v>No-drop?</x:v>
      </x:c>
      <x:c r="J1" s="28" t="str">
        <x:v>Notes</x:v>
      </x:c>
    </x:row>
    <x:row r="2" ht="20" customHeight="1">
      <x:c r="A2" s="29" t="str">
        <x:v>Serial</x:v>
      </x:c>
      <x:c r="B2" s="41" t="n">
        <x:v>6</x:v>
      </x:c>
      <x:c r="C2" s="41" t="n">
        <x:v>8</x:v>
      </x:c>
      <x:c r="D2" s="31" t="n">
        <x:v>2000</x:v>
      </x:c>
      <x:c r="E2" s="41" t="n">
        <x:v>0</x:v>
      </x:c>
      <x:c r="F2" s="41" t="n">
        <x:v>28</x:v>
      </x:c>
      <x:c r="G2" s="31" t="n">
        <x:v>333.3</x:v>
      </x:c>
      <x:c r="H2" s="31" t="n">
        <x:f>IF(AND(G2&gt;0,B2&gt;0),G2*B2,"")</x:f>
        <x:v>1999.8000000000002</x:v>
      </x:c>
      <x:c r="I2" s="29" t="str">
        <x:f>IF(A2="","",IF(OR(E2="",F2=""),"UNVERIFIED",IF(AND(E2=0,F2=0),"YES","NO")))</x:f>
        <x:v>UNVERIFIED</x:v>
      </x:c>
      <x:c r="J2" s="29" t="str">
        <x:v>From your sender/receiver discussion; not zero-drop because sender dropped &gt; 0</x:v>
      </x:c>
    </x:row>
    <x:row r="3" ht="20" customHeight="1">
      <x:c r="A3" s="29" t="str">
        <x:v>BLE</x:v>
      </x:c>
      <x:c r="B3" s="41" t="n">
        <x:v>6</x:v>
      </x:c>
      <x:c r="C3" s="41" t="n">
        <x:v>8</x:v>
      </x:c>
      <x:c r="D3" s="31" t="n">
        <x:v>1500</x:v>
      </x:c>
      <x:c r="E3" s="41"/>
      <x:c r="F3" s="41" t="n">
        <x:v>23207</x:v>
      </x:c>
      <x:c r="G3" s="31" t="n">
        <x:v>252</x:v>
      </x:c>
      <x:c r="H3" s="31" t="n">
        <x:f>IF(AND(G3&gt;0,B3&gt;0),G3*B3,"")</x:f>
        <x:v>1512</x:v>
      </x:c>
      <x:c r="I3" s="29" t="str">
        <x:f>IF(A3="","",IF(OR(E3="",F3=""),"UNVERIFIED",IF(AND(E3=0,F3=0),"YES","NO")))</x:f>
        <x:v>UNVERIFIED</x:v>
      </x:c>
      <x:c r="J3" s="29" t="str">
        <x:v>From BLE log at 1500 Hz; actual pps estimated from seq increment (~505 packets / 2 s)</x:v>
      </x:c>
    </x:row>
    <x:row r="4" ht="20" customHeight="1">
      <x:c r="A4" s="29" t="str">
        <x:v>Serial</x:v>
      </x:c>
      <x:c r="B4" s="41" t="n">
        <x:v>6</x:v>
      </x:c>
      <x:c r="C4" s="41" t="n">
        <x:v>8</x:v>
      </x:c>
      <x:c r="D4" s="31" t="n">
        <x:v>500</x:v>
      </x:c>
      <x:c r="E4" s="41" t="n">
        <x:v>0</x:v>
      </x:c>
      <x:c r="F4" s="41"/>
      <x:c r="G4" s="31" t="n">
        <x:v>83.3</x:v>
      </x:c>
      <x:c r="H4" s="31" t="n">
        <x:f>IF(AND(G4&gt;0,B4&gt;0),G4*B4,"")</x:f>
        <x:v>499.79999999999995</x:v>
      </x:c>
      <x:c r="I4" s="29" t="str">
        <x:f>IF(A4="","",IF(OR(E4="",F4=""),"UNVERIFIED",IF(AND(E4=0,F4=0),"YES","NO")))</x:f>
        <x:v>UNVERIFIED</x:v>
      </x:c>
      <x:c r="J4" s="29" t="str">
        <x:v>Example row from your screenshot; sender not verified</x:v>
      </x:c>
    </x:row>
    <x:row r="5" ht="20" customHeight="1">
      <x:c r="A5" s="29" t="str">
        <x:v>Serial</x:v>
      </x:c>
      <x:c r="B5" s="41" t="n">
        <x:v>6</x:v>
      </x:c>
      <x:c r="C5" s="41" t="n">
        <x:v>8</x:v>
      </x:c>
      <x:c r="D5" s="31" t="n">
        <x:v>1000</x:v>
      </x:c>
      <x:c r="E5" s="41" t="n">
        <x:v>0</x:v>
      </x:c>
      <x:c r="F5" s="41"/>
      <x:c r="G5" s="31" t="n">
        <x:v>166.7</x:v>
      </x:c>
      <x:c r="H5" s="31" t="n">
        <x:f>IF(AND(G5&gt;0,B5&gt;0),G5*B5,"")</x:f>
        <x:v>1000.1999999999999</x:v>
      </x:c>
      <x:c r="I5" s="29" t="str">
        <x:f>IF(A5="","",IF(OR(E5="",F5=""),"UNVERIFIED",IF(AND(E5=0,F5=0),"YES","NO")))</x:f>
        <x:v>UNVERIFIED</x:v>
      </x:c>
      <x:c r="J5" s="29" t="str">
        <x:v>Example row from your screenshot; sender not verified</x:v>
      </x:c>
    </x:row>
    <x:row r="6" ht="20" customHeight="1">
      <x:c r="A6" s="29" t="str"/>
      <x:c r="B6" s="41"/>
      <x:c r="C6" s="41"/>
      <x:c r="D6" s="31"/>
      <x:c r="E6" s="41"/>
      <x:c r="F6" s="41"/>
      <x:c r="G6" s="31"/>
      <x:c r="H6" s="31" t="str">
        <x:f>IF(AND(G6&gt;0,B6&gt;0),G6*B6,"")</x:f>
      </x:c>
      <x:c r="I6" s="29" t="str">
        <x:f>IF(A6="","",IF(OR(E6="",F6=""),"UNVERIFIED",IF(AND(E6=0,F6=0),"YES","NO")))</x:f>
      </x:c>
      <x:c r="J6" s="29" t="str"/>
    </x:row>
    <x:row r="7" ht="20" customHeight="1">
      <x:c r="A7" s="29" t="str"/>
      <x:c r="B7" s="41"/>
      <x:c r="C7" s="41"/>
      <x:c r="D7" s="31"/>
      <x:c r="E7" s="41"/>
      <x:c r="F7" s="41"/>
      <x:c r="G7" s="31"/>
      <x:c r="H7" s="31" t="str">
        <x:f>IF(AND(G7&gt;0,B7&gt;0),G7*B7,"")</x:f>
      </x:c>
      <x:c r="I7" s="29" t="str">
        <x:f>IF(A7="","",IF(OR(E7="",F7=""),"UNVERIFIED",IF(AND(E7=0,F7=0),"YES","NO")))</x:f>
      </x:c>
      <x:c r="J7" s="29" t="str"/>
    </x:row>
    <x:row r="8" ht="20" customHeight="1">
      <x:c r="A8" s="29" t="str"/>
      <x:c r="B8" s="41"/>
      <x:c r="C8" s="41"/>
      <x:c r="D8" s="31"/>
      <x:c r="E8" s="41"/>
      <x:c r="F8" s="41"/>
      <x:c r="G8" s="31"/>
      <x:c r="H8" s="31" t="str">
        <x:f>IF(AND(G8&gt;0,B8&gt;0),G8*B8,"")</x:f>
      </x:c>
      <x:c r="I8" s="29" t="str">
        <x:f>IF(A8="","",IF(OR(E8="",F8=""),"UNVERIFIED",IF(AND(E8=0,F8=0),"YES","NO")))</x:f>
      </x:c>
      <x:c r="J8" s="29" t="str"/>
    </x:row>
    <x:row r="9" ht="20" customHeight="1">
      <x:c r="A9" s="29" t="str"/>
      <x:c r="B9" s="41"/>
      <x:c r="C9" s="41"/>
      <x:c r="D9" s="31"/>
      <x:c r="E9" s="41"/>
      <x:c r="F9" s="41"/>
      <x:c r="G9" s="31"/>
      <x:c r="H9" s="31" t="str">
        <x:f>IF(AND(G9&gt;0,B9&gt;0),G9*B9,"")</x:f>
      </x:c>
      <x:c r="I9" s="29" t="str">
        <x:f>IF(A9="","",IF(OR(E9="",F9=""),"UNVERIFIED",IF(AND(E9=0,F9=0),"YES","NO")))</x:f>
      </x:c>
      <x:c r="J9" s="29" t="str"/>
    </x:row>
    <x:row r="10" ht="20" customHeight="1">
      <x:c r="A10" s="29" t="str"/>
      <x:c r="B10" s="41"/>
      <x:c r="C10" s="41"/>
      <x:c r="D10" s="31"/>
      <x:c r="E10" s="41"/>
      <x:c r="F10" s="41"/>
      <x:c r="G10" s="31"/>
      <x:c r="H10" s="31" t="str">
        <x:f>IF(AND(G10&gt;0,B10&gt;0),G10*B10,"")</x:f>
      </x:c>
      <x:c r="I10" s="29" t="str">
        <x:f>IF(A10="","",IF(OR(E10="",F10=""),"UNVERIFIED",IF(AND(E10=0,F10=0),"YES","NO")))</x:f>
      </x:c>
      <x:c r="J10" s="29" t="str"/>
    </x:row>
    <x:row r="11" ht="20" customHeight="1">
      <x:c r="A11" s="29" t="str"/>
      <x:c r="B11" s="41"/>
      <x:c r="C11" s="41"/>
      <x:c r="D11" s="31"/>
      <x:c r="E11" s="41"/>
      <x:c r="F11" s="41"/>
      <x:c r="G11" s="31"/>
      <x:c r="H11" s="31" t="str">
        <x:f>IF(AND(G11&gt;0,B11&gt;0),G11*B11,"")</x:f>
      </x:c>
      <x:c r="I11" s="29" t="str">
        <x:f>IF(A11="","",IF(OR(E11="",F11=""),"UNVERIFIED",IF(AND(E11=0,F11=0),"YES","NO")))</x:f>
      </x:c>
      <x:c r="J11" s="29" t="str"/>
    </x:row>
    <x:row r="12" ht="20" customHeight="1">
      <x:c r="A12" s="29" t="str"/>
      <x:c r="B12" s="41"/>
      <x:c r="C12" s="41"/>
      <x:c r="D12" s="31"/>
      <x:c r="E12" s="41"/>
      <x:c r="F12" s="41"/>
      <x:c r="G12" s="31"/>
      <x:c r="H12" s="31" t="str">
        <x:f>IF(AND(G12&gt;0,B12&gt;0),G12*B12,"")</x:f>
      </x:c>
      <x:c r="I12" s="29" t="str">
        <x:f>IF(A12="","",IF(OR(E12="",F12=""),"UNVERIFIED",IF(AND(E12=0,F12=0),"YES","NO")))</x:f>
      </x:c>
      <x:c r="J12" s="29" t="str"/>
    </x:row>
    <x:row r="13" ht="20" customHeight="1">
      <x:c r="A13" s="29" t="str"/>
      <x:c r="B13" s="41"/>
      <x:c r="C13" s="41"/>
      <x:c r="D13" s="31"/>
      <x:c r="E13" s="41"/>
      <x:c r="F13" s="41"/>
      <x:c r="G13" s="31"/>
      <x:c r="H13" s="31" t="str">
        <x:f>IF(AND(G13&gt;0,B13&gt;0),G13*B13,"")</x:f>
      </x:c>
      <x:c r="I13" s="29" t="str">
        <x:f>IF(A13="","",IF(OR(E13="",F13=""),"UNVERIFIED",IF(AND(E13=0,F13=0),"YES","NO")))</x:f>
      </x:c>
      <x:c r="J13" s="29" t="str"/>
    </x:row>
    <x:row r="14" ht="20" customHeight="1">
      <x:c r="A14" s="29" t="str"/>
      <x:c r="B14" s="41"/>
      <x:c r="C14" s="41"/>
      <x:c r="D14" s="31"/>
      <x:c r="E14" s="41"/>
      <x:c r="F14" s="41"/>
      <x:c r="G14" s="31"/>
      <x:c r="H14" s="31" t="str">
        <x:f>IF(AND(G14&gt;0,B14&gt;0),G14*B14,"")</x:f>
      </x:c>
      <x:c r="I14" s="29" t="str">
        <x:f>IF(A14="","",IF(OR(E14="",F14=""),"UNVERIFIED",IF(AND(E14=0,F14=0),"YES","NO")))</x:f>
      </x:c>
      <x:c r="J14" s="29" t="str"/>
    </x:row>
    <x:row r="15" ht="20" customHeight="1">
      <x:c r="A15" s="29" t="str"/>
      <x:c r="B15" s="41"/>
      <x:c r="C15" s="41"/>
      <x:c r="D15" s="31"/>
      <x:c r="E15" s="41"/>
      <x:c r="F15" s="41"/>
      <x:c r="G15" s="31"/>
      <x:c r="H15" s="31" t="str">
        <x:f>IF(AND(G15&gt;0,B15&gt;0),G15*B15,"")</x:f>
      </x:c>
      <x:c r="I15" s="29" t="str">
        <x:f>IF(A15="","",IF(OR(E15="",F15=""),"UNVERIFIED",IF(AND(E15=0,F15=0),"YES","NO")))</x:f>
      </x:c>
      <x:c r="J15" s="29" t="str"/>
    </x:row>
    <x:row r="16" ht="20" customHeight="1">
      <x:c r="A16" s="29" t="str"/>
      <x:c r="B16" s="41"/>
      <x:c r="C16" s="41"/>
      <x:c r="D16" s="31"/>
      <x:c r="E16" s="41"/>
      <x:c r="F16" s="41"/>
      <x:c r="G16" s="31"/>
      <x:c r="H16" s="31" t="str">
        <x:f>IF(AND(G16&gt;0,B16&gt;0),G16*B16,"")</x:f>
      </x:c>
      <x:c r="I16" s="29" t="str">
        <x:f>IF(A16="","",IF(OR(E16="",F16=""),"UNVERIFIED",IF(AND(E16=0,F16=0),"YES","NO")))</x:f>
      </x:c>
      <x:c r="J16" s="29" t="str"/>
    </x:row>
    <x:row r="17" ht="20" customHeight="1">
      <x:c r="A17" s="29" t="str"/>
      <x:c r="B17" s="41"/>
      <x:c r="C17" s="41"/>
      <x:c r="D17" s="31"/>
      <x:c r="E17" s="41"/>
      <x:c r="F17" s="41"/>
      <x:c r="G17" s="31"/>
      <x:c r="H17" s="31" t="str">
        <x:f>IF(AND(G17&gt;0,B17&gt;0),G17*B17,"")</x:f>
      </x:c>
      <x:c r="I17" s="29" t="str">
        <x:f>IF(A17="","",IF(OR(E17="",F17=""),"UNVERIFIED",IF(AND(E17=0,F17=0),"YES","NO")))</x:f>
      </x:c>
      <x:c r="J17" s="29" t="str"/>
    </x:row>
    <x:row r="18" ht="20" customHeight="1">
      <x:c r="A18" s="29" t="str"/>
      <x:c r="B18" s="41"/>
      <x:c r="C18" s="41"/>
      <x:c r="D18" s="31"/>
      <x:c r="E18" s="41"/>
      <x:c r="F18" s="41"/>
      <x:c r="G18" s="31"/>
      <x:c r="H18" s="31" t="str">
        <x:f>IF(AND(G18&gt;0,B18&gt;0),G18*B18,"")</x:f>
      </x:c>
      <x:c r="I18" s="29" t="str">
        <x:f>IF(A18="","",IF(OR(E18="",F18=""),"UNVERIFIED",IF(AND(E18=0,F18=0),"YES","NO")))</x:f>
      </x:c>
      <x:c r="J18" s="29" t="str"/>
    </x:row>
    <x:row r="19" ht="20" customHeight="1">
      <x:c r="A19" s="29" t="str"/>
      <x:c r="B19" s="41"/>
      <x:c r="C19" s="41"/>
      <x:c r="D19" s="31"/>
      <x:c r="E19" s="41"/>
      <x:c r="F19" s="41"/>
      <x:c r="G19" s="31"/>
      <x:c r="H19" s="31" t="str">
        <x:f>IF(AND(G19&gt;0,B19&gt;0),G19*B19,"")</x:f>
      </x:c>
      <x:c r="I19" s="29" t="str">
        <x:f>IF(A19="","",IF(OR(E19="",F19=""),"UNVERIFIED",IF(AND(E19=0,F19=0),"YES","NO")))</x:f>
      </x:c>
      <x:c r="J19" s="29" t="str"/>
    </x:row>
    <x:row r="20" ht="20" customHeight="1">
      <x:c r="A20" s="29" t="str"/>
      <x:c r="B20" s="41"/>
      <x:c r="C20" s="41"/>
      <x:c r="D20" s="31"/>
      <x:c r="E20" s="41"/>
      <x:c r="F20" s="41"/>
      <x:c r="G20" s="31"/>
      <x:c r="H20" s="31" t="str">
        <x:f>IF(AND(G20&gt;0,B20&gt;0),G20*B20,"")</x:f>
      </x:c>
      <x:c r="I20" s="29" t="str">
        <x:f>IF(A20="","",IF(OR(E20="",F20=""),"UNVERIFIED",IF(AND(E20=0,F20=0),"YES","NO")))</x:f>
      </x:c>
      <x:c r="J20" s="29" t="str"/>
    </x:row>
    <x:row r="21" ht="20" customHeight="1">
      <x:c r="A21" s="29" t="str"/>
      <x:c r="B21" s="41"/>
      <x:c r="C21" s="41"/>
      <x:c r="D21" s="31"/>
      <x:c r="E21" s="41"/>
      <x:c r="F21" s="41"/>
      <x:c r="G21" s="31"/>
      <x:c r="H21" s="31" t="str">
        <x:f>IF(AND(G21&gt;0,B21&gt;0),G21*B21,"")</x:f>
      </x:c>
      <x:c r="I21" s="29" t="str">
        <x:f>IF(A21="","",IF(OR(E21="",F21=""),"UNVERIFIED",IF(AND(E21=0,F21=0),"YES","NO")))</x:f>
      </x:c>
      <x:c r="J21" s="29" t="str"/>
    </x:row>
    <x:row r="22" ht="20" customHeight="1">
      <x:c r="A22" s="29" t="str"/>
      <x:c r="B22" s="41"/>
      <x:c r="C22" s="41"/>
      <x:c r="D22" s="31"/>
      <x:c r="E22" s="41"/>
      <x:c r="F22" s="41"/>
      <x:c r="G22" s="31"/>
      <x:c r="H22" s="31" t="str">
        <x:f>IF(AND(G22&gt;0,B22&gt;0),G22*B22,"")</x:f>
      </x:c>
      <x:c r="I22" s="29" t="str">
        <x:f>IF(A22="","",IF(OR(E22="",F22=""),"UNVERIFIED",IF(AND(E22=0,F22=0),"YES","NO")))</x:f>
      </x:c>
      <x:c r="J22" s="29" t="str"/>
    </x:row>
    <x:row r="23" ht="20" customHeight="1">
      <x:c r="A23" s="29" t="str"/>
      <x:c r="B23" s="41"/>
      <x:c r="C23" s="41"/>
      <x:c r="D23" s="31"/>
      <x:c r="E23" s="41"/>
      <x:c r="F23" s="41"/>
      <x:c r="G23" s="31"/>
      <x:c r="H23" s="31" t="str">
        <x:f>IF(AND(G23&gt;0,B23&gt;0),G23*B23,"")</x:f>
      </x:c>
      <x:c r="I23" s="29" t="str">
        <x:f>IF(A23="","",IF(OR(E23="",F23=""),"UNVERIFIED",IF(AND(E23=0,F23=0),"YES","NO")))</x:f>
      </x:c>
      <x:c r="J23" s="29" t="str"/>
    </x:row>
    <x:row r="24" ht="20" customHeight="1">
      <x:c r="A24" s="29" t="str"/>
      <x:c r="B24" s="41"/>
      <x:c r="C24" s="41"/>
      <x:c r="D24" s="31"/>
      <x:c r="E24" s="41"/>
      <x:c r="F24" s="41"/>
      <x:c r="G24" s="31"/>
      <x:c r="H24" s="31" t="str">
        <x:f>IF(AND(G24&gt;0,B24&gt;0),G24*B24,"")</x:f>
      </x:c>
      <x:c r="I24" s="29" t="str">
        <x:f>IF(A24="","",IF(OR(E24="",F24=""),"UNVERIFIED",IF(AND(E24=0,F24=0),"YES","NO")))</x:f>
      </x:c>
      <x:c r="J24" s="29" t="str"/>
    </x:row>
    <x:row r="25" ht="20" customHeight="1">
      <x:c r="A25" s="29" t="str"/>
      <x:c r="B25" s="41"/>
      <x:c r="C25" s="41"/>
      <x:c r="D25" s="31"/>
      <x:c r="E25" s="41"/>
      <x:c r="F25" s="41"/>
      <x:c r="G25" s="31"/>
      <x:c r="H25" s="31" t="str">
        <x:f>IF(AND(G25&gt;0,B25&gt;0),G25*B25,"")</x:f>
      </x:c>
      <x:c r="I25" s="29" t="str">
        <x:f>IF(A25="","",IF(OR(E25="",F25=""),"UNVERIFIED",IF(AND(E25=0,F25=0),"YES","NO")))</x:f>
      </x:c>
      <x:c r="J25" s="29" t="str"/>
    </x:row>
    <x:row r="26" ht="20" customHeight="1">
      <x:c r="A26" s="29" t="str"/>
      <x:c r="B26" s="41"/>
      <x:c r="C26" s="41"/>
      <x:c r="D26" s="31"/>
      <x:c r="E26" s="41"/>
      <x:c r="F26" s="41"/>
      <x:c r="G26" s="31"/>
      <x:c r="H26" s="31" t="str">
        <x:f>IF(AND(G26&gt;0,B26&gt;0),G26*B26,"")</x:f>
      </x:c>
      <x:c r="I26" s="29" t="str">
        <x:f>IF(A26="","",IF(OR(E26="",F26=""),"UNVERIFIED",IF(AND(E26=0,F26=0),"YES","NO")))</x:f>
      </x:c>
      <x:c r="J26" s="29" t="str"/>
    </x:row>
    <x:row r="27" ht="20" customHeight="1">
      <x:c r="A27" s="29" t="str"/>
      <x:c r="B27" s="41"/>
      <x:c r="C27" s="41"/>
      <x:c r="D27" s="31"/>
      <x:c r="E27" s="41"/>
      <x:c r="F27" s="41"/>
      <x:c r="G27" s="31"/>
      <x:c r="H27" s="31" t="str">
        <x:f>IF(AND(G27&gt;0,B27&gt;0),G27*B27,"")</x:f>
      </x:c>
      <x:c r="I27" s="29" t="str">
        <x:f>IF(A27="","",IF(OR(E27="",F27=""),"UNVERIFIED",IF(AND(E27=0,F27=0),"YES","NO")))</x:f>
      </x:c>
      <x:c r="J27" s="29" t="str"/>
    </x:row>
    <x:row r="28" ht="20" customHeight="1">
      <x:c r="A28" s="29" t="str"/>
      <x:c r="B28" s="41"/>
      <x:c r="C28" s="41"/>
      <x:c r="D28" s="31"/>
      <x:c r="E28" s="41"/>
      <x:c r="F28" s="41"/>
      <x:c r="G28" s="31"/>
      <x:c r="H28" s="31" t="str">
        <x:f>IF(AND(G28&gt;0,B28&gt;0),G28*B28,"")</x:f>
      </x:c>
      <x:c r="I28" s="29" t="str">
        <x:f>IF(A28="","",IF(OR(E28="",F28=""),"UNVERIFIED",IF(AND(E28=0,F28=0),"YES","NO")))</x:f>
      </x:c>
      <x:c r="J28" s="29" t="str"/>
    </x:row>
    <x:row r="29" ht="20" customHeight="1">
      <x:c r="A29" s="29" t="str"/>
      <x:c r="B29" s="41"/>
      <x:c r="C29" s="41"/>
      <x:c r="D29" s="31"/>
      <x:c r="E29" s="41"/>
      <x:c r="F29" s="41"/>
      <x:c r="G29" s="31"/>
      <x:c r="H29" s="31" t="str">
        <x:f>IF(AND(G29&gt;0,B29&gt;0),G29*B29,"")</x:f>
      </x:c>
      <x:c r="I29" s="29" t="str">
        <x:f>IF(A29="","",IF(OR(E29="",F29=""),"UNVERIFIED",IF(AND(E29=0,F29=0),"YES","NO")))</x:f>
      </x:c>
      <x:c r="J29" s="29" t="str"/>
    </x:row>
    <x:row r="30" ht="20" customHeight="1">
      <x:c r="A30" s="29" t="str"/>
      <x:c r="B30" s="41"/>
      <x:c r="C30" s="41"/>
      <x:c r="D30" s="31"/>
      <x:c r="E30" s="41"/>
      <x:c r="F30" s="41"/>
      <x:c r="G30" s="31"/>
      <x:c r="H30" s="31" t="str">
        <x:f>IF(AND(G30&gt;0,B30&gt;0),G30*B30,"")</x:f>
      </x:c>
      <x:c r="I30" s="29" t="str">
        <x:f>IF(A30="","",IF(OR(E30="",F30=""),"UNVERIFIED",IF(AND(E30=0,F30=0),"YES","NO")))</x:f>
      </x:c>
      <x:c r="J30" s="29" t="str"/>
    </x:row>
    <x:row r="31" ht="20" customHeight="1">
      <x:c r="A31" s="29" t="str"/>
      <x:c r="B31" s="41"/>
      <x:c r="C31" s="41"/>
      <x:c r="D31" s="31"/>
      <x:c r="E31" s="41"/>
      <x:c r="F31" s="41"/>
      <x:c r="G31" s="31"/>
      <x:c r="H31" s="31" t="str">
        <x:f>IF(AND(G31&gt;0,B31&gt;0),G31*B31,"")</x:f>
      </x:c>
      <x:c r="I31" s="29" t="str">
        <x:f>IF(A31="","",IF(OR(E31="",F31=""),"UNVERIFIED",IF(AND(E31=0,F31=0),"YES","NO")))</x:f>
      </x:c>
      <x:c r="J31" s="29" t="str"/>
    </x:row>
    <x:row r="32" ht="20" customHeight="1">
      <x:c r="A32" s="29" t="str"/>
      <x:c r="B32" s="41"/>
      <x:c r="C32" s="41"/>
      <x:c r="D32" s="31"/>
      <x:c r="E32" s="41"/>
      <x:c r="F32" s="41"/>
      <x:c r="G32" s="31"/>
      <x:c r="H32" s="31" t="str">
        <x:f>IF(AND(G32&gt;0,B32&gt;0),G32*B32,"")</x:f>
      </x:c>
      <x:c r="I32" s="29" t="str">
        <x:f>IF(A32="","",IF(OR(E32="",F32=""),"UNVERIFIED",IF(AND(E32=0,F32=0),"YES","NO")))</x:f>
      </x:c>
      <x:c r="J32" s="29" t="str"/>
    </x:row>
    <x:row r="33" ht="20" customHeight="1">
      <x:c r="A33" s="29" t="str"/>
      <x:c r="B33" s="41"/>
      <x:c r="C33" s="41"/>
      <x:c r="D33" s="31"/>
      <x:c r="E33" s="41"/>
      <x:c r="F33" s="41"/>
      <x:c r="G33" s="31"/>
      <x:c r="H33" s="31" t="str">
        <x:f>IF(AND(G33&gt;0,B33&gt;0),G33*B33,"")</x:f>
      </x:c>
      <x:c r="I33" s="29" t="str">
        <x:f>IF(A33="","",IF(OR(E33="",F33=""),"UNVERIFIED",IF(AND(E33=0,F33=0),"YES","NO")))</x:f>
      </x:c>
      <x:c r="J33" s="29" t="str"/>
    </x:row>
    <x:row r="34" ht="20" customHeight="1">
      <x:c r="A34" s="29" t="str"/>
      <x:c r="B34" s="41"/>
      <x:c r="C34" s="41"/>
      <x:c r="D34" s="31"/>
      <x:c r="E34" s="41"/>
      <x:c r="F34" s="41"/>
      <x:c r="G34" s="31"/>
      <x:c r="H34" s="31" t="str">
        <x:f>IF(AND(G34&gt;0,B34&gt;0),G34*B34,"")</x:f>
      </x:c>
      <x:c r="I34" s="29" t="str">
        <x:f>IF(A34="","",IF(OR(E34="",F34=""),"UNVERIFIED",IF(AND(E34=0,F34=0),"YES","NO")))</x:f>
      </x:c>
      <x:c r="J34" s="29" t="str"/>
    </x:row>
    <x:row r="35" ht="20" customHeight="1">
      <x:c r="A35" s="29" t="str"/>
      <x:c r="B35" s="41"/>
      <x:c r="C35" s="41"/>
      <x:c r="D35" s="31"/>
      <x:c r="E35" s="41"/>
      <x:c r="F35" s="41"/>
      <x:c r="G35" s="31"/>
      <x:c r="H35" s="31" t="str">
        <x:f>IF(AND(G35&gt;0,B35&gt;0),G35*B35,"")</x:f>
      </x:c>
      <x:c r="I35" s="29" t="str">
        <x:f>IF(A35="","",IF(OR(E35="",F35=""),"UNVERIFIED",IF(AND(E35=0,F35=0),"YES","NO")))</x:f>
      </x:c>
      <x:c r="J35" s="29" t="str"/>
    </x:row>
    <x:row r="36" ht="20" customHeight="1">
      <x:c r="A36" s="29" t="str"/>
      <x:c r="B36" s="41"/>
      <x:c r="C36" s="41"/>
      <x:c r="D36" s="31"/>
      <x:c r="E36" s="41"/>
      <x:c r="F36" s="41"/>
      <x:c r="G36" s="31"/>
      <x:c r="H36" s="31" t="str">
        <x:f>IF(AND(G36&gt;0,B36&gt;0),G36*B36,"")</x:f>
      </x:c>
      <x:c r="I36" s="29" t="str">
        <x:f>IF(A36="","",IF(OR(E36="",F36=""),"UNVERIFIED",IF(AND(E36=0,F36=0),"YES","NO")))</x:f>
      </x:c>
      <x:c r="J36" s="29" t="str"/>
    </x:row>
    <x:row r="37" ht="20" customHeight="1">
      <x:c r="A37" s="29" t="str"/>
      <x:c r="B37" s="41"/>
      <x:c r="C37" s="41"/>
      <x:c r="D37" s="31"/>
      <x:c r="E37" s="41"/>
      <x:c r="F37" s="41"/>
      <x:c r="G37" s="31"/>
      <x:c r="H37" s="31" t="str">
        <x:f>IF(AND(G37&gt;0,B37&gt;0),G37*B37,"")</x:f>
      </x:c>
      <x:c r="I37" s="29" t="str">
        <x:f>IF(A37="","",IF(OR(E37="",F37=""),"UNVERIFIED",IF(AND(E37=0,F37=0),"YES","NO")))</x:f>
      </x:c>
      <x:c r="J37" s="29" t="str"/>
    </x:row>
    <x:row r="38" ht="20" customHeight="1">
      <x:c r="A38" s="29" t="str"/>
      <x:c r="B38" s="41"/>
      <x:c r="C38" s="41"/>
      <x:c r="D38" s="31"/>
      <x:c r="E38" s="41"/>
      <x:c r="F38" s="41"/>
      <x:c r="G38" s="31"/>
      <x:c r="H38" s="31" t="str">
        <x:f>IF(AND(G38&gt;0,B38&gt;0),G38*B38,"")</x:f>
      </x:c>
      <x:c r="I38" s="29" t="str">
        <x:f>IF(A38="","",IF(OR(E38="",F38=""),"UNVERIFIED",IF(AND(E38=0,F38=0),"YES","NO")))</x:f>
      </x:c>
      <x:c r="J38" s="29" t="str"/>
    </x:row>
    <x:row r="39" ht="20" customHeight="1">
      <x:c r="A39" s="29" t="str"/>
      <x:c r="B39" s="41"/>
      <x:c r="C39" s="41"/>
      <x:c r="D39" s="31"/>
      <x:c r="E39" s="41"/>
      <x:c r="F39" s="41"/>
      <x:c r="G39" s="31"/>
      <x:c r="H39" s="31" t="str">
        <x:f>IF(AND(G39&gt;0,B39&gt;0),G39*B39,"")</x:f>
      </x:c>
      <x:c r="I39" s="29" t="str">
        <x:f>IF(A39="","",IF(OR(E39="",F39=""),"UNVERIFIED",IF(AND(E39=0,F39=0),"YES","NO")))</x:f>
      </x:c>
      <x:c r="J39" s="29" t="str"/>
    </x:row>
    <x:row r="40" ht="20" customHeight="1">
      <x:c r="A40" s="29" t="str"/>
      <x:c r="B40" s="41"/>
      <x:c r="C40" s="41"/>
      <x:c r="D40" s="31"/>
      <x:c r="E40" s="41"/>
      <x:c r="F40" s="41"/>
      <x:c r="G40" s="31"/>
      <x:c r="H40" s="31" t="str">
        <x:f>IF(AND(G40&gt;0,B40&gt;0),G40*B40,"")</x:f>
      </x:c>
      <x:c r="I40" s="29" t="str">
        <x:f>IF(A40="","",IF(OR(E40="",F40=""),"UNVERIFIED",IF(AND(E40=0,F40=0),"YES","NO")))</x:f>
      </x:c>
      <x:c r="J40" s="29" t="str"/>
    </x:row>
    <x:row r="41" ht="20" customHeight="1">
      <x:c r="A41" s="29" t="str"/>
      <x:c r="B41" s="41"/>
      <x:c r="C41" s="41"/>
      <x:c r="D41" s="31"/>
      <x:c r="E41" s="41"/>
      <x:c r="F41" s="41"/>
      <x:c r="G41" s="31"/>
      <x:c r="H41" s="31" t="str">
        <x:f>IF(AND(G41&gt;0,B41&gt;0),G41*B41,"")</x:f>
      </x:c>
      <x:c r="I41" s="29" t="str">
        <x:f>IF(A41="","",IF(OR(E41="",F41=""),"UNVERIFIED",IF(AND(E41=0,F41=0),"YES","NO")))</x:f>
      </x:c>
      <x:c r="J41" s="29" t="str"/>
    </x:row>
    <x:row r="42" ht="20" customHeight="1">
      <x:c r="A42" s="29" t="str"/>
      <x:c r="B42" s="41"/>
      <x:c r="C42" s="41"/>
      <x:c r="D42" s="31"/>
      <x:c r="E42" s="41"/>
      <x:c r="F42" s="41"/>
      <x:c r="G42" s="31"/>
      <x:c r="H42" s="31" t="str">
        <x:f>IF(AND(G42&gt;0,B42&gt;0),G42*B42,"")</x:f>
      </x:c>
      <x:c r="I42" s="29" t="str">
        <x:f>IF(A42="","",IF(OR(E42="",F42=""),"UNVERIFIED",IF(AND(E42=0,F42=0),"YES","NO")))</x:f>
      </x:c>
      <x:c r="J42" s="29" t="str"/>
    </x:row>
    <x:row r="43" ht="20" customHeight="1">
      <x:c r="A43" s="29" t="str"/>
      <x:c r="B43" s="41"/>
      <x:c r="C43" s="41"/>
      <x:c r="D43" s="31"/>
      <x:c r="E43" s="41"/>
      <x:c r="F43" s="41"/>
      <x:c r="G43" s="31"/>
      <x:c r="H43" s="31" t="str">
        <x:f>IF(AND(G43&gt;0,B43&gt;0),G43*B43,"")</x:f>
      </x:c>
      <x:c r="I43" s="29" t="str">
        <x:f>IF(A43="","",IF(OR(E43="",F43=""),"UNVERIFIED",IF(AND(E43=0,F43=0),"YES","NO")))</x:f>
      </x:c>
      <x:c r="J43" s="29" t="str"/>
    </x:row>
    <x:row r="44" ht="20" customHeight="1">
      <x:c r="A44" s="29" t="str"/>
      <x:c r="B44" s="41"/>
      <x:c r="C44" s="41"/>
      <x:c r="D44" s="31"/>
      <x:c r="E44" s="41"/>
      <x:c r="F44" s="41"/>
      <x:c r="G44" s="31"/>
      <x:c r="H44" s="31" t="str">
        <x:f>IF(AND(G44&gt;0,B44&gt;0),G44*B44,"")</x:f>
      </x:c>
      <x:c r="I44" s="29" t="str">
        <x:f>IF(A44="","",IF(OR(E44="",F44=""),"UNVERIFIED",IF(AND(E44=0,F44=0),"YES","NO")))</x:f>
      </x:c>
      <x:c r="J44" s="29" t="str"/>
    </x:row>
    <x:row r="45" ht="20" customHeight="1">
      <x:c r="A45" s="29" t="str"/>
      <x:c r="B45" s="41"/>
      <x:c r="C45" s="41"/>
      <x:c r="D45" s="31"/>
      <x:c r="E45" s="41"/>
      <x:c r="F45" s="41"/>
      <x:c r="G45" s="31"/>
      <x:c r="H45" s="31" t="str">
        <x:f>IF(AND(G45&gt;0,B45&gt;0),G45*B45,"")</x:f>
      </x:c>
      <x:c r="I45" s="29" t="str">
        <x:f>IF(A45="","",IF(OR(E45="",F45=""),"UNVERIFIED",IF(AND(E45=0,F45=0),"YES","NO")))</x:f>
      </x:c>
      <x:c r="J45" s="2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2" customHeight="1">
      <x:c r="A1" s="4" t="str">
        <x:v>How to use this workbook</x:v>
      </x:c>
      <x:c r="B1" s="4" t="str"/>
      <x:c r="C1" s="4" t="str"/>
      <x:c r="D1" s="4" t="str"/>
      <x:c r="E1" s="4" t="str"/>
      <x:c r="F1" s="4" t="str"/>
    </x:row>
    <x:row r="2" ht="22" customHeight="1">
      <x:c r="A2" s="24" t="str">
        <x:v>1</x:v>
      </x:c>
      <x:c r="B2" s="24" t="str">
        <x:v>Set Batch size and Oversampling on the Calculator sheet.</x:v>
      </x:c>
      <x:c r="C2" s="26" t="str"/>
      <x:c r="D2" s="26" t="str"/>
      <x:c r="E2" s="26" t="str"/>
      <x:c r="F2" s="26" t="str"/>
    </x:row>
    <x:row r="3" ht="22" customHeight="1">
      <x:c r="A3" s="24" t="str">
        <x:v>2</x:v>
      </x:c>
      <x:c r="B3" s="24" t="str">
        <x:v>Log each experiment on Data_Log: protocol, target Fs, receiver missing, sender dropped, and actual pps.</x:v>
      </x:c>
      <x:c r="C3" s="26" t="str"/>
      <x:c r="D3" s="26" t="str"/>
      <x:c r="E3" s="26" t="str"/>
      <x:c r="F3" s="26" t="str"/>
    </x:row>
    <x:row r="4" ht="22" customHeight="1">
      <x:c r="A4" s="24" t="str">
        <x:v>3</x:v>
      </x:c>
      <x:c r="B4" s="24" t="str">
        <x:v>A row counts as confirmed zero-drop only when Receiver missing = 0 and Sender dropped batches = 0.</x:v>
      </x:c>
      <x:c r="C4" s="26" t="str"/>
      <x:c r="D4" s="26" t="str"/>
      <x:c r="E4" s="26" t="str"/>
      <x:c r="F4" s="26" t="str"/>
    </x:row>
    <x:row r="5" ht="22" customHeight="1">
      <x:c r="A5" s="24" t="str">
        <x:v>4</x:v>
      </x:c>
      <x:c r="B5" s="24" t="str">
        <x:v>The Calculator sheet automatically shows the highest tested zero-drop frequency for Serial and BLE.</x:v>
      </x:c>
      <x:c r="C5" s="26" t="str"/>
      <x:c r="D5" s="26" t="str"/>
      <x:c r="E5" s="26" t="str"/>
      <x:c r="F5" s="26" t="str"/>
    </x:row>
    <x:row r="6" ht="22" customHeight="1">
      <x:c r="A6" s="24" t="str">
        <x:v>5</x:v>
      </x:c>
      <x:c r="B6" s="24" t="str">
        <x:v>If sender dropped is unknown, leave it blank. That row will not be counted as confirmed zero-drop.</x:v>
      </x:c>
      <x:c r="C6" s="26" t="str"/>
      <x:c r="D6" s="26" t="str"/>
      <x:c r="E6" s="26" t="str"/>
      <x:c r="F6" s="26" t="str"/>
    </x:row>
    <x:row r="7" ht="22" customHeight="1">
      <x:c r="A7" s="24" t="str">
        <x:v>6</x:v>
      </x:c>
      <x:c r="B7" s="24" t="str">
        <x:v>Manual what-if area: enter a safe packet rate in pps and the workbook converts it to safe output Fs using the selected batch size.</x:v>
      </x:c>
      <x:c r="C7" s="26" t="str"/>
      <x:c r="D7" s="26" t="str"/>
      <x:c r="E7" s="26" t="str"/>
      <x:c r="F7" s="26" t="str"/>
    </x:row>
    <x:row r="8" ht="22" customHeight="1">
      <x:c r="A8" s="24" t="str">
        <x:v>Formula</x:v>
      </x:c>
      <x:c r="B8" s="24" t="str">
        <x:v>Effective samples/s = Actual pps × Batch size</x:v>
      </x:c>
      <x:c r="C8" s="26" t="str"/>
      <x:c r="D8" s="26" t="str"/>
      <x:c r="E8" s="26" t="str"/>
      <x:c r="F8" s="26" t="str"/>
    </x:row>
    <x:row r="9" ht="22" customHeight="1">
      <x:c r="A9" s="24" t="str">
        <x:v>Formula</x:v>
      </x:c>
      <x:c r="B9" s="24" t="str">
        <x:v>ADC reads/s = Effective samples/s × Oversampling</x:v>
      </x:c>
      <x:c r="C9" s="26" t="str"/>
      <x:c r="D9" s="26" t="str"/>
      <x:c r="E9" s="26" t="str"/>
      <x:c r="F9" s="26" t="str"/>
    </x:row>
  </x:sheetData>
  <x:pageMargins left="0.7" right="0.7" top="0.75" bottom="0.75" header="0.3" footer="0.3"/>
</x:worksheet>
</file>